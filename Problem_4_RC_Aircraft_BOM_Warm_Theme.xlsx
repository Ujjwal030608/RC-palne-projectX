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nypa\Downloads\"/>
    </mc:Choice>
  </mc:AlternateContent>
  <xr:revisionPtr revIDLastSave="0" documentId="13_ncr:1_{DAD66A3E-1B2E-48BB-9B3B-DEAAFE5F5F96}" xr6:coauthVersionLast="47" xr6:coauthVersionMax="47" xr10:uidLastSave="{00000000-0000-0000-0000-000000000000}"/>
  <bookViews>
    <workbookView xWindow="12710" yWindow="0" windowWidth="12980" windowHeight="15370" firstSheet="1" activeTab="2" xr2:uid="{00000000-000D-0000-FFFF-FFFF00000000}"/>
  </bookViews>
  <sheets>
    <sheet name="BOM &amp; Options" sheetId="1" r:id="rId1"/>
    <sheet name="Technical Rationale" sheetId="3" r:id="rId2"/>
    <sheet name="Mass &amp; Thrust" sheetId="4" r:id="rId3"/>
  </sheets>
  <definedNames>
    <definedName name="_xlnm._FilterDatabase" localSheetId="0" hidden="1">'BOM &amp; Options'!$A$4:$I$19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4" l="1"/>
  <c r="B20" i="4"/>
  <c r="B16" i="4"/>
  <c r="D18" i="4" l="1"/>
  <c r="B18" i="4"/>
</calcChain>
</file>

<file path=xl/sharedStrings.xml><?xml version="1.0" encoding="utf-8"?>
<sst xmlns="http://schemas.openxmlformats.org/spreadsheetml/2006/main" count="199" uniqueCount="189">
  <si>
    <t>PROBLEM 4 — RC AIRCRAFT BILL OF MATERIALS</t>
  </si>
  <si>
    <t>Planning estimate only — no parts are to be purchased for this assignment. Prices and stock can change.</t>
  </si>
  <si>
    <t>Component</t>
  </si>
  <si>
    <t>Option A (budget)</t>
  </si>
  <si>
    <t>Option B (performance / alternative)</t>
  </si>
  <si>
    <t>Key specifications / compatibility</t>
  </si>
  <si>
    <t>Qty</t>
  </si>
  <si>
    <t>Budget unit ₹</t>
  </si>
  <si>
    <t>Alternative unit ₹</t>
  </si>
  <si>
    <t>Recommended source link</t>
  </si>
  <si>
    <t>Notes / checks</t>
  </si>
  <si>
    <t>Motor</t>
  </si>
  <si>
    <t>A2212 1000KV outrunner</t>
  </si>
  <si>
    <t>EMAX XA2212 980KV outrunner</t>
  </si>
  <si>
    <t>A2212 class; 2–3S LiPo; 8–10 in prop range; verify current with chosen prop</t>
  </si>
  <si>
    <t>https://fioparts.com/shop/2212-brushless-motors</t>
  </si>
  <si>
    <t>Alternative with published 980KV model; verify motor data sheet, propeller/current and mount before final selection.</t>
  </si>
  <si>
    <t>ESC</t>
  </si>
  <si>
    <t>30A ESC with 5V BEC</t>
  </si>
  <si>
    <t>Hobbywing Skywalker 30A ESC</t>
  </si>
  <si>
    <t>2–3S compatible for budget option; BEC powers receiver/servos; 30A continuous class</t>
  </si>
  <si>
    <t>https://www.flyrobo.in/rc-aeroplane-kit-motor-plus-esc-plus-propeller-plus-servo-plus-tx-rx-fsi6</t>
  </si>
  <si>
    <t>A 30A ESC gives margin over an expected ~12A motor operating point, but confirm motor/prop current on a wattmeter.</t>
  </si>
  <si>
    <t>Propeller</t>
  </si>
  <si>
    <t>1045 (10×4.5) propeller pair</t>
  </si>
  <si>
    <t>Quality 10×4.5 fixed-wing propeller (confirm exact rotation/type)</t>
  </si>
  <si>
    <t>10-inch diameter, 4.5-inch pitch; must suit motor shaft/adapter and aircraft clearance</t>
  </si>
  <si>
    <t>https://robu.in/</t>
  </si>
  <si>
    <t>₹95 listing is for a 1045 CW+CCW pair; a fixed-wing aircraft normally uses one propeller, so verify the correct single-prop type.</t>
  </si>
  <si>
    <t>Battery</t>
  </si>
  <si>
    <t>3S 2200mAh 25–30C LiPo</t>
  </si>
  <si>
    <t>3S 2200mAh 40–80C LiPo</t>
  </si>
  <si>
    <t>11.1V nominal; 12.6V fully charged; check connector, dimensions, mass and discharge rating</t>
  </si>
  <si>
    <t>https://www.flyrobo.in/absd-lipo-battery-11.1v-2200mah-3s-30c</t>
  </si>
  <si>
    <t>Use a protected charging area and a LiPo-compatible balance charger. Capacity adds flight time but also mass.</t>
  </si>
  <si>
    <t>Transmitter + receiver</t>
  </si>
  <si>
    <t>FlySky FS-i6 + compatible receiver</t>
  </si>
  <si>
    <t>RadioMaster Pocket ELRS + compatible ELRS receiver</t>
  </si>
  <si>
    <t>2.4GHz ELRS version; receiver must also support ExpressLRS; 4+ control channels required, 6+ preferred</t>
  </si>
  <si>
    <t>https://aeroflow.in/collections/radio-transmitter</t>
  </si>
  <si>
    <t>Different radio ecosystem from FlySky. Buy a compatible ELRS receiver separately and bind it; confirm receiver outputs suit the servos/ESC.</t>
  </si>
  <si>
    <t>Servos</t>
  </si>
  <si>
    <t>SG90 9g plastic-gear servo</t>
  </si>
  <si>
    <t>MG90S 9g metal-gear servo</t>
  </si>
  <si>
    <t>Approximately 4.8–6V; PWM servo; check torque, travel, plug and BEC capacity</t>
  </si>
  <si>
    <t>https://www.kitsguru.com/</t>
  </si>
  <si>
    <t>Four servos: left/right ailerons, elevator and rudder. Two ailerons may be mixed on separate channels or Y-lead.</t>
  </si>
  <si>
    <t>Airframe skin</t>
  </si>
  <si>
    <t>Foam board / depron sheet</t>
  </si>
  <si>
    <t>Lightweight EPP foam sheet or quality foam board</t>
  </si>
  <si>
    <t>Lightweight, easy to cut and repair; select thickness based on stiffness and build method</t>
  </si>
  <si>
    <t>https://www.amazon.in/s?k=foam+board+sheet</t>
  </si>
  <si>
    <t>Estimate; local stationery/craft suppliers may be cheaper. Keep the wing straight and avoid excess glue.</t>
  </si>
  <si>
    <t>Wing reinforcement</t>
  </si>
  <si>
    <t>Carbon-fibre rod / bamboo spar</t>
  </si>
  <si>
    <t>Carbon-fibre tube or spar</t>
  </si>
  <si>
    <t>Spar must resist bending; size and location depend on wing design and expected loads</t>
  </si>
  <si>
    <t>https://rotoryard.in/parts/c/rc-hardware</t>
  </si>
  <si>
    <t>Do not assume the material alone makes the wing strong; spar placement and bonding matter.</t>
  </si>
  <si>
    <t>Motor mount / firewall</t>
  </si>
  <si>
    <t>Plywood plate + screws</t>
  </si>
  <si>
    <t>Light plywood or reinforced mount</t>
  </si>
  <si>
    <t>Mount pattern must match motor; use secure fasteners and distribute load</t>
  </si>
  <si>
    <t>https://www.amazon.in/s?k=rc+airplane+motor+mount</t>
  </si>
  <si>
    <t>Check propeller clearance and motor thrust line.</t>
  </si>
  <si>
    <t>Control linkages</t>
  </si>
  <si>
    <t>Pushrods, clevises, control horns, hinges</t>
  </si>
  <si>
    <t>Stiffer pushrods + metal/nylon horns and clevises</t>
  </si>
  <si>
    <t>Low slop; correct length and hole fit; hinges must not bind</t>
  </si>
  <si>
    <t>Include spare clevises/hinges; check all controls move freely.</t>
  </si>
  <si>
    <t>Landing gear</t>
  </si>
  <si>
    <t>Simple wire/foam landing gear</t>
  </si>
  <si>
    <t>Lightweight wire gear with reinforced mounting</t>
  </si>
  <si>
    <t>Optional for hand launch; needed for ground takeoff; wheels must not be oversized/heavy</t>
  </si>
  <si>
    <t>https://www.amazon.in/s?k=rc+airplane+landing+gear</t>
  </si>
  <si>
    <t>Can be omitted for a hand-launched belly-lander if the design and flying site allow it.</t>
  </si>
  <si>
    <t>Battery charger</t>
  </si>
  <si>
    <t>B3 2S–3S LiPo balance charger</t>
  </si>
  <si>
    <t>iMAX B6AC-style balance charger</t>
  </si>
  <si>
    <t>Must balance-charge 3S LiPo; charger current and connector must suit battery</t>
  </si>
  <si>
    <t>https://electronicspices.com/product/b3-2s-3s-lipo-battery-charger</t>
  </si>
  <si>
    <t>Budget charger is basic; a quality balance charger gives better monitoring and flexibility.</t>
  </si>
  <si>
    <t>Power connectors / wiring</t>
  </si>
  <si>
    <t>XT60-compatible lead, 16–18 AWG wire, heat-shrink</t>
  </si>
  <si>
    <t>Quality silicone wire, XT60 connectors, solder joints</t>
  </si>
  <si>
    <t>Connector polarity must match; wire gauge must handle current; insulate every joint</t>
  </si>
  <si>
    <t>https://www.amazon.in/s?k=XT60+connector+silicone+wire</t>
  </si>
  <si>
    <t>Never rely on twisted bare wires; prevent short circuits and strain on solder joints.</t>
  </si>
  <si>
    <t>Adhesives / tape</t>
  </si>
  <si>
    <t>Foam-safe glue, epoxy where needed, tape</t>
  </si>
  <si>
    <t>Foam-safe contact adhesive + epoxy + fibre tape</t>
  </si>
  <si>
    <t>Adhesive must not dissolve foam; use sparingly to limit mass</t>
  </si>
  <si>
    <t>https://www.amazon.in/s?k=foam+safe+glue+epoxy</t>
  </si>
  <si>
    <t>Test glue on scrap foam first; avoid excess adhesive.</t>
  </si>
  <si>
    <t>Small hardware / safety</t>
  </si>
  <si>
    <t>Screws, servo extensions, battery strap, prop adapter</t>
  </si>
  <si>
    <t>Better fasteners, extension leads, battery strap, spare prop</t>
  </si>
  <si>
    <t>Secure battery and electronics; motor shaft/adapter and prop bore must match</t>
  </si>
  <si>
    <t>Include small parts often missed in budgets; propeller is dangerous when powered.</t>
  </si>
  <si>
    <t>Item</t>
  </si>
  <si>
    <t>Notes</t>
  </si>
  <si>
    <t>TECHNICAL RATIONALE &amp; COMPATIBILITY CHECKS</t>
  </si>
  <si>
    <t>Question / topic</t>
  </si>
  <si>
    <t>Decision / explanation</t>
  </si>
  <si>
    <t>Check or calculation</t>
  </si>
  <si>
    <t>Risk / caveat</t>
  </si>
  <si>
    <t>1. Motor–propeller match</t>
  </si>
  <si>
    <t>Start with an A2212 1000KV motor on a 3S LiPo and a suitable propeller as a candidate. Alternatives include EMAX XA2212 980KV or ReadyToSky A2212 920KV; compare the exact model's propeller/current data before choosing.</t>
  </si>
  <si>
    <t>Use the motor maker's propeller table if available. On a secure test stand, use a wattmeter and thrust scale to record full-throttle current, watts and static thrust. Compare against aircraft mass and ESC limit.</t>
  </si>
  <si>
    <t>Do not assume similar motor size or KV means identical performance. Verify propeller type, adapter, clearance and current.</t>
  </si>
  <si>
    <t>2. ESC rating and margin</t>
  </si>
  <si>
    <t>A 30A ESC is a reasonable starting class for this candidate motor if measured current remains comfortably below its continuous rating. A built-in BEC supplies receiver and servo power.</t>
  </si>
  <si>
    <t>Example: if measured peak current is 12A, 30A/12A = 2.5× current-rating ratio. Keep margin for heat and airflow; confirm BEC current supports four servos plus receiver.</t>
  </si>
  <si>
    <t>Motor current varies greatly with propeller, battery voltage and load. The actual measured current is the deciding value, not KV alone.</t>
  </si>
  <si>
    <t>3. Battery trade-off</t>
  </si>
  <si>
    <t>A 3S 2200mAh LiPo offers 11.1V nominal voltage and a useful capacity for a 1–1.2m model. Higher capacity may increase flight time but also increases takeoff mass.</t>
  </si>
  <si>
    <t>Nominal energy = 11.1V × 2.2Ah ≈ 24.4Wh. A 30C label implies a theoretical 66A current rating (2.2Ah × 30C), but real performance and safety depend on the battery quality and condition.</t>
  </si>
  <si>
    <t>Confirm connector, battery dimensions, mass, discharge rating and charger compatibility. Do not discharge deeply or charge unattended.</t>
  </si>
  <si>
    <t>4. Servo count and control surfaces</t>
  </si>
  <si>
    <t>Use four 9g servos: two ailerons, one elevator and one rudder. Throttle is controlled by the ESC, so no servo is needed for it.</t>
  </si>
  <si>
    <t>Check each servo's travel and direction, linkage freedom, control horn attachment and receiver channel mapping. Ailerons can use separate channels or a Y-lead if appropriate.</t>
  </si>
  <si>
    <t>A 2A BEC may be marginal with some servos under load; verify the ESC BEC rating and avoid binding/stalled servos.</t>
  </si>
  <si>
    <t>5. Structural material</t>
  </si>
  <si>
    <t>Foam board or EPP is lightweight, inexpensive and repairable. Add carbon-fibre rods/tubes or suitable spars to reinforce the wing; use plywood around motor and landing-gear attachment points.</t>
  </si>
  <si>
    <t>Estimate finished mass and inspect wing stiffness. Spar position, bonding, and skin construction are as important as the material selected.</t>
  </si>
  <si>
    <t>Do not add reinforcement everywhere; excess weight reduces performance. Test adhesive on scrap foam.</t>
  </si>
  <si>
    <t>6. Radio compatibility</t>
  </si>
  <si>
    <t>Use a 2.4GHz transmitter and a receiver that supports the same protocol. The original option is a FlySky matched set. An alternative is RadioMaster Pocket ELRS with an ELRS-compatible receiver purchased separately. Six channels or more provides room for basic control and future changes.</t>
  </si>
  <si>
    <t>Bind the exact transmitter/receiver pair, verify failsafe, range-test according to the manual, and check all control directions before installing the propeller.</t>
  </si>
  <si>
    <t>ELRS and FlySky AFHDS receivers are not interchangeable. Confirm receiver output type and channel mapping.</t>
  </si>
  <si>
    <t>7. Electrical and mechanical checks</t>
  </si>
  <si>
    <t>Confirm battery connector polarity, ESC input voltage range, motor bullet connectors, prop adapter bore, shaft diameter, servo plug fit, and physical space for electronics.</t>
  </si>
  <si>
    <t>Inspect solder joints and insulation; secure battery and receiver; ensure motor is firmly mounted and the propeller clears the fuselage and ground.</t>
  </si>
  <si>
    <t>Remove the propeller for initial radio, ESC calibration and control checks. Keep hands clear during powered tests.</t>
  </si>
  <si>
    <t>8. Budget savings</t>
  </si>
  <si>
    <t>Use locally sourced foam, reuse safe electronics if available, and choose a simple hand-launch design to avoid landing-gear weight. Buy a matched motor/ESC combo only if specs are clear.</t>
  </si>
  <si>
    <t>Keep the battery, ESC and propeller matched. Spend savings on a safe charger, reliable radio link, and spare propeller/repair materials.</t>
  </si>
  <si>
    <t>Do not save money by using damaged LiPo batteries, undersized wiring, weak prop adapters, or unverified radio components.</t>
  </si>
  <si>
    <t>9. Recommended configuration</t>
  </si>
  <si>
    <t>For a student competition, start with the budget build only after ground testing confirms adequate thrust, correct CG and reliable control. A performance build can improve consistency but costs more.</t>
  </si>
  <si>
    <t>Use a design target near 700–800g takeoff mass and verify thrust on a test stand; aim for a thrust-to-weight ratio around or above 0.8 for comfortable initial performance, subject to aircraft design and rules.</t>
  </si>
  <si>
    <t>The estimates are preliminary. Actual flight capability depends on wing area, airfoil, drag, build quality, centre of gravity, weather and pilot skill.</t>
  </si>
  <si>
    <t>BONUS — TAKEOFF MASS &amp; PROPULSION ESTIMATE</t>
  </si>
  <si>
    <t>Illustrative estimate for a 1.1m-span foam aircraft; replace allowances with measured/actual values when a design is available.</t>
  </si>
  <si>
    <t>Estimated mass (g)</t>
  </si>
  <si>
    <t>Basis</t>
  </si>
  <si>
    <t>Value / formula</t>
  </si>
  <si>
    <t>Foam airframe, tail and skin</t>
  </si>
  <si>
    <t>Design allowance</t>
  </si>
  <si>
    <t>Depends on wing area and foam thickness.</t>
  </si>
  <si>
    <t>Wing spars and reinforcement</t>
  </si>
  <si>
    <t>Carbon/bamboo reinforcement.</t>
  </si>
  <si>
    <t>Motor and mount</t>
  </si>
  <si>
    <t>Approximate</t>
  </si>
  <si>
    <t>Motor plus plywood mount and fasteners.</t>
  </si>
  <si>
    <t>ESC and power leads</t>
  </si>
  <si>
    <t>Includes some wiring.</t>
  </si>
  <si>
    <t>3S 2200mAh LiPo</t>
  </si>
  <si>
    <t>Typical estimate</t>
  </si>
  <si>
    <t>Check actual battery datasheet.</t>
  </si>
  <si>
    <t>Receiver</t>
  </si>
  <si>
    <t>Receiver only; transmitter not onboard.</t>
  </si>
  <si>
    <t>Four servos</t>
  </si>
  <si>
    <t>4 × 9g nominal</t>
  </si>
  <si>
    <t>Actual servo mass may differ.</t>
  </si>
  <si>
    <t>Propeller and adapter</t>
  </si>
  <si>
    <t>Verify actual hardware.</t>
  </si>
  <si>
    <t>Control linkages and hinges</t>
  </si>
  <si>
    <t>Pushrods, horns, clevises, hinges.</t>
  </si>
  <si>
    <t>Landing gear and wheels</t>
  </si>
  <si>
    <t>Optional estimate</t>
  </si>
  <si>
    <t>Can be omitted for hand launch.</t>
  </si>
  <si>
    <t>Adhesive, tape, small hardware</t>
  </si>
  <si>
    <t>Glue adds mass quickly.</t>
  </si>
  <si>
    <t>TOTAL ESTIMATED TAKEOFF MASS</t>
  </si>
  <si>
    <t>Calculated</t>
  </si>
  <si>
    <t>Includes landing gear and all allowances.</t>
  </si>
  <si>
    <t>Candidate static thrust</t>
  </si>
  <si>
    <t>Vendor claim / preliminary</t>
  </si>
  <si>
    <t>A2212 listings mention around 700g; verify exact setup.</t>
  </si>
  <si>
    <t>Thrust-to-weight ratio</t>
  </si>
  <si>
    <t>Use thrust and mass in same units.</t>
  </si>
  <si>
    <t>Suggested initial target mass</t>
  </si>
  <si>
    <t>Design target</t>
  </si>
  <si>
    <t>Illustrative target, not a guarantee.</t>
  </si>
  <si>
    <t>Thrust needed at 0.8:1 ratio</t>
  </si>
  <si>
    <t>A useful planning check; test actual thrust.</t>
  </si>
  <si>
    <t>Interpretation</t>
  </si>
  <si>
    <t>If estimated mass is about 811g and thrust is 700g, ratio ≈0.86:1. This may be adequate for some light aircraft but climb margin is limited; verify actual thrust and consider reducing mass or improving the matched power system.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</si>
</sst>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#,##0"/>
    <numFmt numFmtId="165" formatCode="0.0"/>
  </numFmts>
  <fonts count="10" x14ac:knownFonts="1">
    <font>
      <sz val="11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0"/>
      <color rgb="FF000000"/>
      <name val="Arial"/>
    </font>
    <font>
      <b/>
      <sz val="10"/>
      <color rgb="FF292929"/>
      <name val="Aptos"/>
    </font>
    <font>
      <i/>
      <sz val="10"/>
      <color rgb="FF292929"/>
      <name val="Aptos"/>
    </font>
    <font>
      <sz val="10"/>
      <color rgb="FF292929"/>
      <name val="Aptos"/>
    </font>
    <font>
      <u/>
      <sz val="10"/>
      <color rgb="FF7A4B00"/>
      <name val="Aptos"/>
    </font>
    <font>
      <b/>
      <sz val="15"/>
      <color rgb="FFFFFFFF"/>
      <name val="Aptos Display"/>
    </font>
    <font>
      <b/>
      <sz val="10"/>
      <color rgb="FFFFFFFF"/>
      <name val="Aptos"/>
    </font>
    <font>
      <b/>
      <sz val="10"/>
      <color rgb="FF333333"/>
      <name val="Aptos"/>
    </font>
  </fonts>
  <fills count="8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3F0EA"/>
      </patternFill>
    </fill>
    <fill>
      <patternFill patternType="solid">
        <fgColor rgb="FFFFFFFF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D8D2C8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2" fillId="0" borderId="1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164" fontId="5" fillId="4" borderId="2" xfId="0" applyNumberFormat="1" applyFont="1" applyFill="1" applyBorder="1" applyAlignment="1">
      <alignment vertical="top" wrapText="1"/>
    </xf>
    <xf numFmtId="0" fontId="6" fillId="4" borderId="2" xfId="1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165" fontId="5" fillId="4" borderId="2" xfId="0" applyNumberFormat="1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7" fillId="2" borderId="2" xfId="0" applyFont="1" applyFill="1" applyBorder="1" applyAlignment="1">
      <alignment vertical="center" wrapText="1"/>
    </xf>
    <xf numFmtId="0" fontId="0" fillId="0" borderId="0" xfId="0"/>
    <xf numFmtId="0" fontId="4" fillId="3" borderId="2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8" fillId="5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vertical="top" wrapText="1"/>
    </xf>
    <xf numFmtId="164" fontId="5" fillId="6" borderId="2" xfId="0" applyNumberFormat="1" applyFont="1" applyFill="1" applyBorder="1" applyAlignment="1">
      <alignment vertical="top" wrapText="1"/>
    </xf>
    <xf numFmtId="0" fontId="6" fillId="6" borderId="2" xfId="1" applyFont="1" applyFill="1" applyBorder="1" applyAlignment="1">
      <alignment vertical="top" wrapText="1"/>
    </xf>
    <xf numFmtId="0" fontId="0" fillId="6" borderId="0" xfId="0" applyFill="1"/>
    <xf numFmtId="165" fontId="5" fillId="6" borderId="2" xfId="0" applyNumberFormat="1" applyFont="1" applyFill="1" applyBorder="1" applyAlignment="1">
      <alignment vertical="top" wrapText="1"/>
    </xf>
    <xf numFmtId="0" fontId="2" fillId="6" borderId="1" xfId="0" applyFont="1" applyFill="1" applyBorder="1" applyAlignment="1">
      <alignment vertical="top" wrapText="1"/>
    </xf>
    <xf numFmtId="0" fontId="3" fillId="6" borderId="2" xfId="0" applyFont="1" applyFill="1" applyBorder="1" applyAlignment="1">
      <alignment vertical="top" wrapText="1"/>
    </xf>
    <xf numFmtId="2" fontId="3" fillId="6" borderId="2" xfId="0" applyNumberFormat="1" applyFont="1" applyFill="1" applyBorder="1" applyAlignment="1">
      <alignment vertical="top" wrapText="1"/>
    </xf>
    <xf numFmtId="165" fontId="3" fillId="6" borderId="2" xfId="0" applyNumberFormat="1" applyFont="1" applyFill="1" applyBorder="1" applyAlignment="1">
      <alignment vertical="top" wrapText="1"/>
    </xf>
    <xf numFmtId="0" fontId="9" fillId="7" borderId="2" xfId="0" applyFont="1" applyFill="1" applyBorder="1" applyAlignment="1">
      <alignment vertical="top" wrapText="1"/>
    </xf>
    <xf numFmtId="165" fontId="9" fillId="7" borderId="2" xfId="0" applyNumberFormat="1" applyFont="1" applyFill="1" applyBorder="1" applyAlignment="1">
      <alignment vertical="top" wrapText="1"/>
    </xf>
    <xf numFmtId="0" fontId="9" fillId="7" borderId="1" xfId="0" applyFont="1" applyFill="1" applyBorder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otoryard.in/parts/c/rc-hardware" TargetMode="External"/><Relationship Id="rId13" Type="http://schemas.openxmlformats.org/officeDocument/2006/relationships/hyperlink" Target="https://www.amazon.in/s?k=XT60+connector+silicone+wire" TargetMode="External"/><Relationship Id="rId3" Type="http://schemas.openxmlformats.org/officeDocument/2006/relationships/hyperlink" Target="https://robu.in/" TargetMode="External"/><Relationship Id="rId7" Type="http://schemas.openxmlformats.org/officeDocument/2006/relationships/hyperlink" Target="https://www.amazon.in/s?k=foam+board+sheet" TargetMode="External"/><Relationship Id="rId12" Type="http://schemas.openxmlformats.org/officeDocument/2006/relationships/hyperlink" Target="https://electronicspices.com/product/b3-2s-3s-lipo-battery-charger" TargetMode="External"/><Relationship Id="rId2" Type="http://schemas.openxmlformats.org/officeDocument/2006/relationships/hyperlink" Target="https://www.flyrobo.in/rc-aeroplane-kit-motor-plus-esc-plus-propeller-plus-servo-plus-tx-rx-fsi6" TargetMode="External"/><Relationship Id="rId1" Type="http://schemas.openxmlformats.org/officeDocument/2006/relationships/hyperlink" Target="https://fioparts.com/shop/2212-brushless-motors" TargetMode="External"/><Relationship Id="rId6" Type="http://schemas.openxmlformats.org/officeDocument/2006/relationships/hyperlink" Target="https://www.kitsguru.com/" TargetMode="External"/><Relationship Id="rId11" Type="http://schemas.openxmlformats.org/officeDocument/2006/relationships/hyperlink" Target="https://www.amazon.in/s?k=rc+airplane+landing+gear" TargetMode="External"/><Relationship Id="rId5" Type="http://schemas.openxmlformats.org/officeDocument/2006/relationships/hyperlink" Target="https://aeroflow.in/collections/radio-transmitter" TargetMode="External"/><Relationship Id="rId15" Type="http://schemas.openxmlformats.org/officeDocument/2006/relationships/hyperlink" Target="https://rotoryard.in/parts/c/rc-hardware" TargetMode="External"/><Relationship Id="rId10" Type="http://schemas.openxmlformats.org/officeDocument/2006/relationships/hyperlink" Target="https://rotoryard.in/parts/c/rc-hardware" TargetMode="External"/><Relationship Id="rId4" Type="http://schemas.openxmlformats.org/officeDocument/2006/relationships/hyperlink" Target="https://www.flyrobo.in/absd-lipo-battery-11.1v-2200mah-3s-30c" TargetMode="External"/><Relationship Id="rId9" Type="http://schemas.openxmlformats.org/officeDocument/2006/relationships/hyperlink" Target="https://www.amazon.in/s?k=rc+airplane+motor+mount" TargetMode="External"/><Relationship Id="rId14" Type="http://schemas.openxmlformats.org/officeDocument/2006/relationships/hyperlink" Target="https://www.amazon.in/s?k=foam+safe+glue+epox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J19"/>
  <sheetViews>
    <sheetView showGridLines="0" topLeftCell="B1" workbookViewId="0">
      <pane ySplit="4" topLeftCell="A13" activePane="bottomLeft" state="frozen"/>
      <selection pane="bottomLeft" activeCell="B14" sqref="B14"/>
    </sheetView>
  </sheetViews>
  <sheetFormatPr defaultRowHeight="14.5" x14ac:dyDescent="0.35"/>
  <cols>
    <col min="1" max="1" width="22" customWidth="1"/>
    <col min="2" max="2" width="28" customWidth="1"/>
    <col min="3" max="3" width="31" customWidth="1"/>
    <col min="4" max="4" width="42" customWidth="1"/>
    <col min="5" max="5" width="8" customWidth="1"/>
    <col min="6" max="6" width="14" customWidth="1"/>
    <col min="7" max="7" width="16" customWidth="1"/>
    <col min="8" max="8" width="28" customWidth="1"/>
    <col min="9" max="9" width="48" customWidth="1"/>
  </cols>
  <sheetData>
    <row r="1" spans="1:10" ht="26" customHeight="1" x14ac:dyDescent="0.3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10" x14ac:dyDescent="0.35">
      <c r="A2" s="10" t="s">
        <v>1</v>
      </c>
      <c r="B2" s="9"/>
      <c r="C2" s="9"/>
      <c r="D2" s="9"/>
      <c r="E2" s="9"/>
      <c r="F2" s="9"/>
      <c r="G2" s="9"/>
      <c r="H2" s="9"/>
      <c r="I2" s="9"/>
    </row>
    <row r="4" spans="1:10" ht="34" customHeight="1" x14ac:dyDescent="0.35">
      <c r="A4" s="13" t="s">
        <v>2</v>
      </c>
      <c r="B4" s="13" t="s">
        <v>3</v>
      </c>
      <c r="C4" s="13" t="s">
        <v>4</v>
      </c>
      <c r="D4" s="13" t="s">
        <v>5</v>
      </c>
      <c r="E4" s="13" t="s">
        <v>6</v>
      </c>
      <c r="F4" s="13" t="s">
        <v>7</v>
      </c>
      <c r="G4" s="13" t="s">
        <v>8</v>
      </c>
      <c r="H4" s="13" t="s">
        <v>9</v>
      </c>
      <c r="I4" s="13" t="s">
        <v>10</v>
      </c>
    </row>
    <row r="5" spans="1:10" ht="54" customHeight="1" x14ac:dyDescent="0.35">
      <c r="A5" s="2" t="s">
        <v>11</v>
      </c>
      <c r="B5" s="2" t="s">
        <v>12</v>
      </c>
      <c r="C5" s="2" t="s">
        <v>13</v>
      </c>
      <c r="D5" s="2" t="s">
        <v>14</v>
      </c>
      <c r="E5" s="2">
        <v>1</v>
      </c>
      <c r="F5" s="3">
        <v>479</v>
      </c>
      <c r="G5" s="3">
        <v>1499</v>
      </c>
      <c r="H5" s="4" t="s">
        <v>15</v>
      </c>
      <c r="I5" s="2" t="s">
        <v>16</v>
      </c>
    </row>
    <row r="6" spans="1:10" ht="54" customHeight="1" x14ac:dyDescent="0.35">
      <c r="A6" s="5" t="s">
        <v>17</v>
      </c>
      <c r="B6" s="14" t="s">
        <v>18</v>
      </c>
      <c r="C6" s="14" t="s">
        <v>19</v>
      </c>
      <c r="D6" s="14" t="s">
        <v>20</v>
      </c>
      <c r="E6" s="14">
        <v>1</v>
      </c>
      <c r="F6" s="15">
        <v>439</v>
      </c>
      <c r="G6" s="15">
        <v>1192</v>
      </c>
      <c r="H6" s="16" t="s">
        <v>21</v>
      </c>
      <c r="I6" s="14" t="s">
        <v>22</v>
      </c>
    </row>
    <row r="7" spans="1:10" ht="54" customHeight="1" x14ac:dyDescent="0.35">
      <c r="A7" s="2" t="s">
        <v>23</v>
      </c>
      <c r="B7" s="2" t="s">
        <v>24</v>
      </c>
      <c r="C7" s="2" t="s">
        <v>25</v>
      </c>
      <c r="D7" s="2" t="s">
        <v>26</v>
      </c>
      <c r="E7" s="2">
        <v>1</v>
      </c>
      <c r="F7" s="3">
        <v>95</v>
      </c>
      <c r="G7" s="3">
        <v>180</v>
      </c>
      <c r="H7" s="4" t="s">
        <v>27</v>
      </c>
      <c r="I7" s="2" t="s">
        <v>28</v>
      </c>
    </row>
    <row r="8" spans="1:10" ht="54" customHeight="1" x14ac:dyDescent="0.35">
      <c r="A8" s="5" t="s">
        <v>29</v>
      </c>
      <c r="B8" s="14" t="s">
        <v>30</v>
      </c>
      <c r="C8" s="14" t="s">
        <v>31</v>
      </c>
      <c r="D8" s="14" t="s">
        <v>32</v>
      </c>
      <c r="E8" s="14">
        <v>1</v>
      </c>
      <c r="F8" s="15">
        <v>1548</v>
      </c>
      <c r="G8" s="15">
        <v>1465</v>
      </c>
      <c r="H8" s="16" t="s">
        <v>33</v>
      </c>
      <c r="I8" s="14" t="s">
        <v>34</v>
      </c>
    </row>
    <row r="9" spans="1:10" ht="54" customHeight="1" x14ac:dyDescent="0.35">
      <c r="A9" s="2" t="s">
        <v>35</v>
      </c>
      <c r="B9" s="2" t="s">
        <v>36</v>
      </c>
      <c r="C9" s="2" t="s">
        <v>37</v>
      </c>
      <c r="D9" s="2" t="s">
        <v>38</v>
      </c>
      <c r="E9" s="2">
        <v>1</v>
      </c>
      <c r="F9" s="3">
        <v>4199</v>
      </c>
      <c r="G9" s="3">
        <v>9448</v>
      </c>
      <c r="H9" s="4" t="s">
        <v>39</v>
      </c>
      <c r="I9" s="2" t="s">
        <v>40</v>
      </c>
    </row>
    <row r="10" spans="1:10" ht="54" customHeight="1" x14ac:dyDescent="0.35">
      <c r="A10" s="5" t="s">
        <v>41</v>
      </c>
      <c r="B10" s="14" t="s">
        <v>42</v>
      </c>
      <c r="C10" s="14" t="s">
        <v>43</v>
      </c>
      <c r="D10" s="14" t="s">
        <v>44</v>
      </c>
      <c r="E10" s="14">
        <v>4</v>
      </c>
      <c r="F10" s="15">
        <v>149</v>
      </c>
      <c r="G10" s="15">
        <v>219</v>
      </c>
      <c r="H10" s="16" t="s">
        <v>45</v>
      </c>
      <c r="I10" s="14" t="s">
        <v>46</v>
      </c>
    </row>
    <row r="11" spans="1:10" ht="54" customHeight="1" x14ac:dyDescent="0.35">
      <c r="A11" s="2" t="s">
        <v>47</v>
      </c>
      <c r="B11" s="2" t="s">
        <v>48</v>
      </c>
      <c r="C11" s="2" t="s">
        <v>49</v>
      </c>
      <c r="D11" s="2" t="s">
        <v>50</v>
      </c>
      <c r="E11" s="2">
        <v>1</v>
      </c>
      <c r="F11" s="3">
        <v>450</v>
      </c>
      <c r="G11" s="3">
        <v>800</v>
      </c>
      <c r="H11" s="4" t="s">
        <v>51</v>
      </c>
      <c r="I11" s="2" t="s">
        <v>52</v>
      </c>
    </row>
    <row r="12" spans="1:10" ht="54" customHeight="1" x14ac:dyDescent="0.35">
      <c r="A12" s="5" t="s">
        <v>53</v>
      </c>
      <c r="B12" s="14" t="s">
        <v>54</v>
      </c>
      <c r="C12" s="14" t="s">
        <v>55</v>
      </c>
      <c r="D12" s="14" t="s">
        <v>56</v>
      </c>
      <c r="E12" s="14">
        <v>2</v>
      </c>
      <c r="F12" s="15">
        <v>180</v>
      </c>
      <c r="G12" s="15">
        <v>450</v>
      </c>
      <c r="H12" s="16" t="s">
        <v>57</v>
      </c>
      <c r="I12" s="14" t="s">
        <v>58</v>
      </c>
      <c r="J12" s="17"/>
    </row>
    <row r="13" spans="1:10" ht="54" customHeight="1" x14ac:dyDescent="0.35">
      <c r="A13" s="2" t="s">
        <v>59</v>
      </c>
      <c r="B13" s="2" t="s">
        <v>60</v>
      </c>
      <c r="C13" s="2" t="s">
        <v>61</v>
      </c>
      <c r="D13" s="2" t="s">
        <v>62</v>
      </c>
      <c r="E13" s="2">
        <v>1</v>
      </c>
      <c r="F13" s="3">
        <v>120</v>
      </c>
      <c r="G13" s="3">
        <v>250</v>
      </c>
      <c r="H13" s="4" t="s">
        <v>63</v>
      </c>
      <c r="I13" s="2" t="s">
        <v>64</v>
      </c>
    </row>
    <row r="14" spans="1:10" ht="54" customHeight="1" x14ac:dyDescent="0.35">
      <c r="A14" s="5" t="s">
        <v>65</v>
      </c>
      <c r="B14" s="14" t="s">
        <v>66</v>
      </c>
      <c r="C14" s="14" t="s">
        <v>67</v>
      </c>
      <c r="D14" s="14" t="s">
        <v>68</v>
      </c>
      <c r="E14" s="14">
        <v>1</v>
      </c>
      <c r="F14" s="15">
        <v>250</v>
      </c>
      <c r="G14" s="15">
        <v>450</v>
      </c>
      <c r="H14" s="16" t="s">
        <v>57</v>
      </c>
      <c r="I14" s="14" t="s">
        <v>69</v>
      </c>
      <c r="J14" s="17"/>
    </row>
    <row r="15" spans="1:10" ht="54" customHeight="1" x14ac:dyDescent="0.35">
      <c r="A15" s="2" t="s">
        <v>70</v>
      </c>
      <c r="B15" s="2" t="s">
        <v>71</v>
      </c>
      <c r="C15" s="2" t="s">
        <v>72</v>
      </c>
      <c r="D15" s="2" t="s">
        <v>73</v>
      </c>
      <c r="E15" s="2">
        <v>1</v>
      </c>
      <c r="F15" s="3">
        <v>250</v>
      </c>
      <c r="G15" s="3">
        <v>450</v>
      </c>
      <c r="H15" s="4" t="s">
        <v>74</v>
      </c>
      <c r="I15" s="2" t="s">
        <v>75</v>
      </c>
    </row>
    <row r="16" spans="1:10" ht="54" customHeight="1" x14ac:dyDescent="0.35">
      <c r="A16" s="5" t="s">
        <v>76</v>
      </c>
      <c r="B16" s="14" t="s">
        <v>77</v>
      </c>
      <c r="C16" s="14" t="s">
        <v>78</v>
      </c>
      <c r="D16" s="14" t="s">
        <v>79</v>
      </c>
      <c r="E16" s="14">
        <v>1</v>
      </c>
      <c r="F16" s="15">
        <v>289</v>
      </c>
      <c r="G16" s="15">
        <v>2399</v>
      </c>
      <c r="H16" s="16" t="s">
        <v>80</v>
      </c>
      <c r="I16" s="14" t="s">
        <v>81</v>
      </c>
    </row>
    <row r="17" spans="1:9" ht="54" customHeight="1" x14ac:dyDescent="0.35">
      <c r="A17" s="2" t="s">
        <v>82</v>
      </c>
      <c r="B17" s="2" t="s">
        <v>83</v>
      </c>
      <c r="C17" s="2" t="s">
        <v>84</v>
      </c>
      <c r="D17" s="2" t="s">
        <v>85</v>
      </c>
      <c r="E17" s="2">
        <v>1</v>
      </c>
      <c r="F17" s="3">
        <v>350</v>
      </c>
      <c r="G17" s="3">
        <v>650</v>
      </c>
      <c r="H17" s="4" t="s">
        <v>86</v>
      </c>
      <c r="I17" s="2" t="s">
        <v>87</v>
      </c>
    </row>
    <row r="18" spans="1:9" ht="54" customHeight="1" x14ac:dyDescent="0.35">
      <c r="A18" s="5" t="s">
        <v>88</v>
      </c>
      <c r="B18" s="14" t="s">
        <v>89</v>
      </c>
      <c r="C18" s="14" t="s">
        <v>90</v>
      </c>
      <c r="D18" s="14" t="s">
        <v>91</v>
      </c>
      <c r="E18" s="14">
        <v>1</v>
      </c>
      <c r="F18" s="15">
        <v>350</v>
      </c>
      <c r="G18" s="15">
        <v>550</v>
      </c>
      <c r="H18" s="16" t="s">
        <v>92</v>
      </c>
      <c r="I18" s="14" t="s">
        <v>93</v>
      </c>
    </row>
    <row r="19" spans="1:9" ht="54" customHeight="1" x14ac:dyDescent="0.35">
      <c r="A19" s="2" t="s">
        <v>94</v>
      </c>
      <c r="B19" s="2" t="s">
        <v>95</v>
      </c>
      <c r="C19" s="2" t="s">
        <v>96</v>
      </c>
      <c r="D19" s="2" t="s">
        <v>97</v>
      </c>
      <c r="E19" s="2">
        <v>1</v>
      </c>
      <c r="F19" s="3">
        <v>300</v>
      </c>
      <c r="G19" s="3">
        <v>500</v>
      </c>
      <c r="H19" s="4" t="s">
        <v>57</v>
      </c>
      <c r="I19" s="2" t="s">
        <v>98</v>
      </c>
    </row>
  </sheetData>
  <autoFilter ref="A4:I19" xr:uid="{00000000-0009-0000-0000-000000000000}"/>
  <mergeCells count="2">
    <mergeCell ref="A1:I1"/>
    <mergeCell ref="A2:I2"/>
  </mergeCells>
  <hyperlinks>
    <hyperlink ref="H5" r:id="rId1" xr:uid="{00000000-0004-0000-0000-000000000000}"/>
    <hyperlink ref="H6" r:id="rId2" xr:uid="{00000000-0004-0000-0000-000001000000}"/>
    <hyperlink ref="H7" r:id="rId3" xr:uid="{00000000-0004-0000-0000-000002000000}"/>
    <hyperlink ref="H8" r:id="rId4" xr:uid="{00000000-0004-0000-0000-000003000000}"/>
    <hyperlink ref="H9" r:id="rId5" xr:uid="{00000000-0004-0000-0000-000004000000}"/>
    <hyperlink ref="H10" r:id="rId6" xr:uid="{00000000-0004-0000-0000-000005000000}"/>
    <hyperlink ref="H11" r:id="rId7" xr:uid="{00000000-0004-0000-0000-000006000000}"/>
    <hyperlink ref="H12" r:id="rId8" xr:uid="{00000000-0004-0000-0000-000007000000}"/>
    <hyperlink ref="H13" r:id="rId9" xr:uid="{00000000-0004-0000-0000-000008000000}"/>
    <hyperlink ref="H14" r:id="rId10" xr:uid="{00000000-0004-0000-0000-000009000000}"/>
    <hyperlink ref="H15" r:id="rId11" xr:uid="{00000000-0004-0000-0000-00000A000000}"/>
    <hyperlink ref="H16" r:id="rId12" xr:uid="{00000000-0004-0000-0000-00000B000000}"/>
    <hyperlink ref="H17" r:id="rId13" xr:uid="{00000000-0004-0000-0000-00000C000000}"/>
    <hyperlink ref="H18" r:id="rId14" xr:uid="{00000000-0004-0000-0000-00000D000000}"/>
    <hyperlink ref="H19" r:id="rId15" xr:uid="{00000000-0004-0000-0000-00000E000000}"/>
  </hyperlink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fitToPage="1"/>
  </sheetPr>
  <dimension ref="A1:E12"/>
  <sheetViews>
    <sheetView showGridLines="0" workbookViewId="0">
      <pane ySplit="3" topLeftCell="A9" activePane="bottomLeft" state="frozen"/>
      <selection pane="bottomLeft" activeCell="A15" sqref="A15"/>
    </sheetView>
  </sheetViews>
  <sheetFormatPr defaultRowHeight="14.5" x14ac:dyDescent="0.35"/>
  <cols>
    <col min="1" max="1" width="28" customWidth="1"/>
    <col min="2" max="2" width="68" customWidth="1"/>
    <col min="3" max="3" width="62" customWidth="1"/>
    <col min="4" max="4" width="58" customWidth="1"/>
  </cols>
  <sheetData>
    <row r="1" spans="1:5" ht="26" customHeight="1" x14ac:dyDescent="0.35">
      <c r="A1" s="8" t="s">
        <v>101</v>
      </c>
      <c r="B1" s="9"/>
      <c r="C1" s="9"/>
      <c r="D1" s="9"/>
    </row>
    <row r="3" spans="1:5" ht="34" customHeight="1" x14ac:dyDescent="0.35">
      <c r="A3" s="13" t="s">
        <v>102</v>
      </c>
      <c r="B3" s="13" t="s">
        <v>103</v>
      </c>
      <c r="C3" s="13" t="s">
        <v>104</v>
      </c>
      <c r="D3" s="13" t="s">
        <v>105</v>
      </c>
    </row>
    <row r="4" spans="1:5" ht="95" customHeight="1" x14ac:dyDescent="0.35">
      <c r="A4" s="14" t="s">
        <v>106</v>
      </c>
      <c r="B4" s="14" t="s">
        <v>107</v>
      </c>
      <c r="C4" s="14" t="s">
        <v>108</v>
      </c>
      <c r="D4" s="14" t="s">
        <v>109</v>
      </c>
    </row>
    <row r="5" spans="1:5" ht="95" customHeight="1" x14ac:dyDescent="0.35">
      <c r="A5" s="2" t="s">
        <v>110</v>
      </c>
      <c r="B5" s="2" t="s">
        <v>111</v>
      </c>
      <c r="C5" s="2" t="s">
        <v>112</v>
      </c>
      <c r="D5" s="2" t="s">
        <v>113</v>
      </c>
    </row>
    <row r="6" spans="1:5" ht="95" customHeight="1" x14ac:dyDescent="0.35">
      <c r="A6" s="14" t="s">
        <v>114</v>
      </c>
      <c r="B6" s="14" t="s">
        <v>115</v>
      </c>
      <c r="C6" s="14" t="s">
        <v>116</v>
      </c>
      <c r="D6" s="14" t="s">
        <v>117</v>
      </c>
    </row>
    <row r="7" spans="1:5" ht="95" customHeight="1" x14ac:dyDescent="0.35">
      <c r="A7" s="2" t="s">
        <v>118</v>
      </c>
      <c r="B7" s="2" t="s">
        <v>119</v>
      </c>
      <c r="C7" s="2" t="s">
        <v>120</v>
      </c>
      <c r="D7" s="2" t="s">
        <v>121</v>
      </c>
    </row>
    <row r="8" spans="1:5" ht="95" customHeight="1" x14ac:dyDescent="0.35">
      <c r="A8" s="14" t="s">
        <v>122</v>
      </c>
      <c r="B8" s="14" t="s">
        <v>123</v>
      </c>
      <c r="C8" s="14" t="s">
        <v>124</v>
      </c>
      <c r="D8" s="14" t="s">
        <v>125</v>
      </c>
      <c r="E8" s="17"/>
    </row>
    <row r="9" spans="1:5" ht="95" customHeight="1" x14ac:dyDescent="0.35">
      <c r="A9" s="2" t="s">
        <v>126</v>
      </c>
      <c r="B9" s="2" t="s">
        <v>127</v>
      </c>
      <c r="C9" s="2" t="s">
        <v>128</v>
      </c>
      <c r="D9" s="2" t="s">
        <v>129</v>
      </c>
    </row>
    <row r="10" spans="1:5" ht="95" customHeight="1" x14ac:dyDescent="0.35">
      <c r="A10" s="14" t="s">
        <v>130</v>
      </c>
      <c r="B10" s="14" t="s">
        <v>131</v>
      </c>
      <c r="C10" s="14" t="s">
        <v>132</v>
      </c>
      <c r="D10" s="14" t="s">
        <v>133</v>
      </c>
    </row>
    <row r="11" spans="1:5" ht="95" customHeight="1" x14ac:dyDescent="0.35">
      <c r="A11" s="2" t="s">
        <v>134</v>
      </c>
      <c r="B11" s="2" t="s">
        <v>135</v>
      </c>
      <c r="C11" s="2" t="s">
        <v>136</v>
      </c>
      <c r="D11" s="2" t="s">
        <v>137</v>
      </c>
    </row>
    <row r="12" spans="1:5" ht="95" customHeight="1" x14ac:dyDescent="0.35">
      <c r="A12" s="14" t="s">
        <v>138</v>
      </c>
      <c r="B12" s="14" t="s">
        <v>139</v>
      </c>
      <c r="C12" s="14" t="s">
        <v>140</v>
      </c>
      <c r="D12" s="14" t="s">
        <v>141</v>
      </c>
    </row>
  </sheetData>
  <mergeCells count="1">
    <mergeCell ref="A1:D1"/>
  </mergeCells>
  <pageMargins left="0.25" right="0.25" top="0.5" bottom="0.5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E24"/>
  <sheetViews>
    <sheetView showGridLines="0" tabSelected="1" topLeftCell="C1" workbookViewId="0">
      <pane ySplit="4" topLeftCell="A5" activePane="bottomLeft" state="frozen"/>
      <selection pane="bottomLeft" activeCell="A4" sqref="A4:E4"/>
    </sheetView>
  </sheetViews>
  <sheetFormatPr defaultRowHeight="14.5" x14ac:dyDescent="0.35"/>
  <cols>
    <col min="1" max="1" width="34" customWidth="1"/>
    <col min="2" max="2" width="20" customWidth="1"/>
    <col min="3" max="3" width="26" customWidth="1"/>
    <col min="4" max="4" width="20" customWidth="1"/>
    <col min="5" max="5" width="54" customWidth="1"/>
  </cols>
  <sheetData>
    <row r="1" spans="1:5" ht="26" customHeight="1" x14ac:dyDescent="0.35">
      <c r="A1" s="8" t="s">
        <v>142</v>
      </c>
      <c r="B1" s="9"/>
      <c r="C1" s="9"/>
      <c r="D1" s="9"/>
      <c r="E1" s="9"/>
    </row>
    <row r="2" spans="1:5" x14ac:dyDescent="0.35">
      <c r="A2" s="11" t="s">
        <v>143</v>
      </c>
      <c r="B2" s="9"/>
      <c r="C2" s="9"/>
      <c r="D2" s="9"/>
      <c r="E2" s="9"/>
    </row>
    <row r="4" spans="1:5" ht="34" customHeight="1" x14ac:dyDescent="0.35">
      <c r="A4" s="13" t="s">
        <v>99</v>
      </c>
      <c r="B4" s="13" t="s">
        <v>144</v>
      </c>
      <c r="C4" s="13" t="s">
        <v>145</v>
      </c>
      <c r="D4" s="13" t="s">
        <v>146</v>
      </c>
      <c r="E4" s="13" t="s">
        <v>100</v>
      </c>
    </row>
    <row r="5" spans="1:5" ht="35" customHeight="1" x14ac:dyDescent="0.35">
      <c r="A5" s="2" t="s">
        <v>147</v>
      </c>
      <c r="B5" s="6">
        <v>220</v>
      </c>
      <c r="C5" s="2" t="s">
        <v>148</v>
      </c>
      <c r="D5" s="1"/>
      <c r="E5" s="2" t="s">
        <v>149</v>
      </c>
    </row>
    <row r="6" spans="1:5" ht="35" customHeight="1" x14ac:dyDescent="0.35">
      <c r="A6" s="14" t="s">
        <v>150</v>
      </c>
      <c r="B6" s="18">
        <v>70</v>
      </c>
      <c r="C6" s="14" t="s">
        <v>148</v>
      </c>
      <c r="D6" s="19"/>
      <c r="E6" s="14" t="s">
        <v>151</v>
      </c>
    </row>
    <row r="7" spans="1:5" ht="35" customHeight="1" x14ac:dyDescent="0.35">
      <c r="A7" s="2" t="s">
        <v>152</v>
      </c>
      <c r="B7" s="6">
        <v>75</v>
      </c>
      <c r="C7" s="2" t="s">
        <v>153</v>
      </c>
      <c r="D7" s="1"/>
      <c r="E7" s="2" t="s">
        <v>154</v>
      </c>
    </row>
    <row r="8" spans="1:5" ht="35" customHeight="1" x14ac:dyDescent="0.35">
      <c r="A8" s="14" t="s">
        <v>155</v>
      </c>
      <c r="B8" s="18">
        <v>35</v>
      </c>
      <c r="C8" s="14" t="s">
        <v>153</v>
      </c>
      <c r="D8" s="19"/>
      <c r="E8" s="14" t="s">
        <v>156</v>
      </c>
    </row>
    <row r="9" spans="1:5" ht="35" customHeight="1" x14ac:dyDescent="0.35">
      <c r="A9" s="2" t="s">
        <v>157</v>
      </c>
      <c r="B9" s="6">
        <v>180</v>
      </c>
      <c r="C9" s="2" t="s">
        <v>158</v>
      </c>
      <c r="D9" s="1"/>
      <c r="E9" s="2" t="s">
        <v>159</v>
      </c>
    </row>
    <row r="10" spans="1:5" ht="35" customHeight="1" x14ac:dyDescent="0.35">
      <c r="A10" s="14" t="s">
        <v>160</v>
      </c>
      <c r="B10" s="18">
        <v>15</v>
      </c>
      <c r="C10" s="14" t="s">
        <v>153</v>
      </c>
      <c r="D10" s="19"/>
      <c r="E10" s="14" t="s">
        <v>161</v>
      </c>
    </row>
    <row r="11" spans="1:5" ht="35" customHeight="1" x14ac:dyDescent="0.35">
      <c r="A11" s="2" t="s">
        <v>162</v>
      </c>
      <c r="B11" s="6">
        <v>36</v>
      </c>
      <c r="C11" s="2" t="s">
        <v>163</v>
      </c>
      <c r="D11" s="1"/>
      <c r="E11" s="2" t="s">
        <v>164</v>
      </c>
    </row>
    <row r="12" spans="1:5" ht="35" customHeight="1" x14ac:dyDescent="0.35">
      <c r="A12" s="14" t="s">
        <v>165</v>
      </c>
      <c r="B12" s="18">
        <v>15</v>
      </c>
      <c r="C12" s="14" t="s">
        <v>153</v>
      </c>
      <c r="D12" s="19"/>
      <c r="E12" s="14" t="s">
        <v>166</v>
      </c>
    </row>
    <row r="13" spans="1:5" ht="35" customHeight="1" x14ac:dyDescent="0.35">
      <c r="A13" s="2" t="s">
        <v>167</v>
      </c>
      <c r="B13" s="6">
        <v>35</v>
      </c>
      <c r="C13" s="2" t="s">
        <v>148</v>
      </c>
      <c r="D13" s="1"/>
      <c r="E13" s="2" t="s">
        <v>168</v>
      </c>
    </row>
    <row r="14" spans="1:5" ht="35" customHeight="1" x14ac:dyDescent="0.35">
      <c r="A14" s="14" t="s">
        <v>169</v>
      </c>
      <c r="B14" s="18">
        <v>70</v>
      </c>
      <c r="C14" s="14" t="s">
        <v>170</v>
      </c>
      <c r="D14" s="19"/>
      <c r="E14" s="14" t="s">
        <v>171</v>
      </c>
    </row>
    <row r="15" spans="1:5" ht="35" customHeight="1" x14ac:dyDescent="0.35">
      <c r="A15" s="2" t="s">
        <v>172</v>
      </c>
      <c r="B15" s="6">
        <v>60</v>
      </c>
      <c r="C15" s="2" t="s">
        <v>148</v>
      </c>
      <c r="D15" s="1"/>
      <c r="E15" s="2" t="s">
        <v>173</v>
      </c>
    </row>
    <row r="16" spans="1:5" ht="35" customHeight="1" x14ac:dyDescent="0.35">
      <c r="A16" s="23" t="s">
        <v>174</v>
      </c>
      <c r="B16" s="24">
        <f>SUM(B5:B15)</f>
        <v>811</v>
      </c>
      <c r="C16" s="23" t="s">
        <v>175</v>
      </c>
      <c r="D16" s="25"/>
      <c r="E16" s="23" t="s">
        <v>176</v>
      </c>
    </row>
    <row r="17" spans="1:5" ht="35" customHeight="1" x14ac:dyDescent="0.35">
      <c r="A17" s="2" t="s">
        <v>177</v>
      </c>
      <c r="B17" s="6">
        <v>700</v>
      </c>
      <c r="C17" s="2" t="s">
        <v>178</v>
      </c>
      <c r="D17" s="1"/>
      <c r="E17" s="2" t="s">
        <v>179</v>
      </c>
    </row>
    <row r="18" spans="1:5" ht="35" customHeight="1" x14ac:dyDescent="0.35">
      <c r="A18" s="20" t="s">
        <v>180</v>
      </c>
      <c r="B18" s="21">
        <f>B17/B16</f>
        <v>0.86313193588162762</v>
      </c>
      <c r="C18" s="20" t="s">
        <v>175</v>
      </c>
      <c r="D18" s="20">
        <f>B17/B16</f>
        <v>0.86313193588162762</v>
      </c>
      <c r="E18" s="20" t="s">
        <v>181</v>
      </c>
    </row>
    <row r="19" spans="1:5" ht="35" customHeight="1" x14ac:dyDescent="0.35">
      <c r="A19" s="2" t="s">
        <v>182</v>
      </c>
      <c r="B19" s="6">
        <v>750</v>
      </c>
      <c r="C19" s="2" t="s">
        <v>183</v>
      </c>
      <c r="D19" s="1"/>
      <c r="E19" s="2" t="s">
        <v>184</v>
      </c>
    </row>
    <row r="20" spans="1:5" ht="35" customHeight="1" x14ac:dyDescent="0.35">
      <c r="A20" s="20" t="s">
        <v>185</v>
      </c>
      <c r="B20" s="22">
        <f>B19*0.8</f>
        <v>600</v>
      </c>
      <c r="C20" s="20" t="s">
        <v>175</v>
      </c>
      <c r="D20" s="20">
        <f>B19*0.8</f>
        <v>600</v>
      </c>
      <c r="E20" s="20" t="s">
        <v>186</v>
      </c>
    </row>
    <row r="23" spans="1:5" ht="34" customHeight="1" x14ac:dyDescent="0.35">
      <c r="A23" s="7" t="s">
        <v>187</v>
      </c>
      <c r="B23" s="12" t="s">
        <v>188</v>
      </c>
      <c r="C23" s="9"/>
      <c r="D23" s="9"/>
      <c r="E23" s="9"/>
    </row>
    <row r="24" spans="1:5" x14ac:dyDescent="0.35">
      <c r="B24" s="9"/>
      <c r="C24" s="9"/>
      <c r="D24" s="9"/>
      <c r="E24" s="9"/>
    </row>
  </sheetData>
  <mergeCells count="3">
    <mergeCell ref="A2:E2"/>
    <mergeCell ref="A1:E1"/>
    <mergeCell ref="B23:E24"/>
  </mergeCells>
  <pageMargins left="0.25" right="0.25" top="0.5" bottom="0.5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BOM &amp; Options</vt:lpstr>
      <vt:lpstr>Technical Rationale</vt:lpstr>
      <vt:lpstr>Mass &amp; Thrust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Ananya Patel</cp:lastModifiedBy>
  <dcterms:created xsi:type="dcterms:W3CDTF">2026-10-26T17:36:34Z</dcterms:created>
  <dcterms:modified xsi:type="dcterms:W3CDTF">2026-10-26T18:05:49Z</dcterms:modified>
</cp:coreProperties>
</file>